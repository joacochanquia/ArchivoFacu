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Joaco\Documents\ArchivoFacu\10moSemestre\Redaccion\TP7\"/>
    </mc:Choice>
  </mc:AlternateContent>
  <xr:revisionPtr revIDLastSave="0" documentId="13_ncr:1_{B8690AAE-1904-44FE-8E21-626304C10E8F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Personal" sheetId="1" r:id="rId1"/>
    <sheet name="Presupuest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D11" i="1"/>
  <c r="F11" i="1" s="1"/>
  <c r="G5" i="2"/>
  <c r="G6" i="2"/>
  <c r="G7" i="2"/>
  <c r="G8" i="2"/>
  <c r="G10" i="2"/>
  <c r="G11" i="2"/>
  <c r="G12" i="2"/>
  <c r="G13" i="2"/>
  <c r="G14" i="2"/>
  <c r="G4" i="2"/>
  <c r="G3" i="2"/>
  <c r="G15" i="2" l="1"/>
</calcChain>
</file>

<file path=xl/sharedStrings.xml><?xml version="1.0" encoding="utf-8"?>
<sst xmlns="http://schemas.openxmlformats.org/spreadsheetml/2006/main" count="46" uniqueCount="37">
  <si>
    <t>Personal</t>
  </si>
  <si>
    <t>Tarea</t>
  </si>
  <si>
    <t>Cantidad</t>
  </si>
  <si>
    <t>Jefe de Proyecto</t>
  </si>
  <si>
    <t>Coordinación general, gestión de recursos, comunicación con las autoridades y garantía del cumplimiento de los plazos.</t>
  </si>
  <si>
    <t>Programación, integración y pruebas de los módulos de la plataforma digital centralizada, incluyendo front-end, back-end y bases de datos.</t>
  </si>
  <si>
    <t>Técnico de Campo</t>
  </si>
  <si>
    <t>Instalación física de los equipos en las locaciones mineras, mantenimiento preventivo y correctivo de la infraestructura desplegada.</t>
  </si>
  <si>
    <t>Capacitador Técnico</t>
  </si>
  <si>
    <t>Diseño, especificación y supervisión de la fabricación/adquisición de la infraestructura física (sensores, estaciones de monitoreo, equipos de comunicación). Y el diseño del controlador utilizado para el sistema.</t>
  </si>
  <si>
    <t>Ingeniero en Computación</t>
  </si>
  <si>
    <t>Ingeniero en Sistemas</t>
  </si>
  <si>
    <t>Encargado del diseño y la definición del software. Armado de la estructura funcional del sistema y los modulos a implementar</t>
  </si>
  <si>
    <t>Programador</t>
  </si>
  <si>
    <t>Ítem</t>
  </si>
  <si>
    <t>Descripción</t>
  </si>
  <si>
    <t>Unidad</t>
  </si>
  <si>
    <t>Costo Unitario ($)</t>
  </si>
  <si>
    <t>Costo Total ($)</t>
  </si>
  <si>
    <t>Sensores de humedad y calidad del suelo</t>
  </si>
  <si>
    <t>Equipos de comunicación satelital</t>
  </si>
  <si>
    <t>Servidores y almacenamiento en la nube</t>
  </si>
  <si>
    <t>Lote</t>
  </si>
  <si>
    <t>Licencias de software y desarrollo</t>
  </si>
  <si>
    <t>Vehículos todo terreno para despliegue</t>
  </si>
  <si>
    <t>Mano de obra especializada</t>
  </si>
  <si>
    <t>Horas</t>
  </si>
  <si>
    <t>Programas de capacitación</t>
  </si>
  <si>
    <t>Sesión</t>
  </si>
  <si>
    <t>TOTAL</t>
  </si>
  <si>
    <t>Varios</t>
  </si>
  <si>
    <t>Sensores de caudal de agua</t>
  </si>
  <si>
    <t>Meses</t>
  </si>
  <si>
    <t>Costo de mantenimiento</t>
  </si>
  <si>
    <t>Controlador central</t>
  </si>
  <si>
    <t>Pruebas de seguridad</t>
  </si>
  <si>
    <t>Diseño e impartición de programas de formación para funcionarios, operarios mineros y gerentes sobre el uso y mantenimiento del sistema.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</si>
</sst>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  <font>
      <b/>
      <sz val="16"/>
      <color theme="1"/>
      <name val="Times New Roman"/>
      <family val="1"/>
    </font>
    <font>
      <sz val="12"/>
      <color rgb="FF0F1115"/>
      <name val="Times New Roman"/>
      <family val="1"/>
    </font>
    <font>
      <sz val="12"/>
      <color rgb="FF0F111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3" fontId="1" fillId="2" borderId="2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3" fontId="0" fillId="2" borderId="4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1"/>
  <sheetViews>
    <sheetView zoomScale="85" zoomScaleNormal="85" workbookViewId="0">
      <selection activeCell="B2" sqref="B2:D8"/>
    </sheetView>
  </sheetViews>
  <sheetFormatPr baseColWidth="10" defaultColWidth="8.88671875" defaultRowHeight="14.4" x14ac:dyDescent="0.3"/>
  <cols>
    <col min="2" max="2" width="33.5546875" bestFit="1" customWidth="1"/>
    <col min="3" max="3" width="56.109375" customWidth="1"/>
    <col min="4" max="4" width="13.44140625" bestFit="1" customWidth="1"/>
  </cols>
  <sheetData>
    <row r="2" spans="2:6" ht="21" thickBot="1" x14ac:dyDescent="0.35">
      <c r="B2" s="3" t="s">
        <v>0</v>
      </c>
      <c r="C2" s="3" t="s">
        <v>1</v>
      </c>
      <c r="D2" s="3" t="s">
        <v>2</v>
      </c>
    </row>
    <row r="3" spans="2:6" ht="31.2" x14ac:dyDescent="0.3">
      <c r="B3" s="4" t="s">
        <v>3</v>
      </c>
      <c r="C3" s="5" t="s">
        <v>4</v>
      </c>
      <c r="D3" s="5">
        <v>1</v>
      </c>
    </row>
    <row r="4" spans="2:6" ht="62.4" x14ac:dyDescent="0.3">
      <c r="B4" s="6" t="s">
        <v>10</v>
      </c>
      <c r="C4" s="7" t="s">
        <v>9</v>
      </c>
      <c r="D4" s="7">
        <v>5</v>
      </c>
    </row>
    <row r="5" spans="2:6" ht="46.8" x14ac:dyDescent="0.3">
      <c r="B5" s="6" t="s">
        <v>11</v>
      </c>
      <c r="C5" s="7" t="s">
        <v>12</v>
      </c>
      <c r="D5" s="7">
        <v>2</v>
      </c>
    </row>
    <row r="6" spans="2:6" ht="46.8" x14ac:dyDescent="0.3">
      <c r="B6" s="6" t="s">
        <v>13</v>
      </c>
      <c r="C6" s="7" t="s">
        <v>5</v>
      </c>
      <c r="D6" s="7">
        <v>5</v>
      </c>
    </row>
    <row r="7" spans="2:6" ht="46.8" x14ac:dyDescent="0.3">
      <c r="B7" s="6" t="s">
        <v>6</v>
      </c>
      <c r="C7" s="7" t="s">
        <v>7</v>
      </c>
      <c r="D7" s="7">
        <v>10</v>
      </c>
    </row>
    <row r="8" spans="2:6" ht="46.8" x14ac:dyDescent="0.3">
      <c r="B8" s="1" t="s">
        <v>8</v>
      </c>
      <c r="C8" s="1" t="s">
        <v>36</v>
      </c>
      <c r="D8" s="2">
        <v>4</v>
      </c>
    </row>
    <row r="11" spans="2:6" x14ac:dyDescent="0.3">
      <c r="D11">
        <f>SUM(D3:D8)</f>
        <v>27</v>
      </c>
      <c r="F11">
        <f>D11*40*60</f>
        <v>64800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A36DC-4ADA-4514-8C49-26D072DD3CB3}">
  <dimension ref="B2:G15"/>
  <sheetViews>
    <sheetView tabSelected="1" workbookViewId="0">
      <selection activeCell="B2" sqref="B2:G15"/>
    </sheetView>
  </sheetViews>
  <sheetFormatPr baseColWidth="10" defaultRowHeight="14.4" x14ac:dyDescent="0.3"/>
  <cols>
    <col min="3" max="3" width="33" bestFit="1" customWidth="1"/>
    <col min="6" max="6" width="17.44140625" bestFit="1" customWidth="1"/>
    <col min="7" max="7" width="14.88671875" bestFit="1" customWidth="1"/>
  </cols>
  <sheetData>
    <row r="2" spans="2:7" ht="18" customHeight="1" thickBot="1" x14ac:dyDescent="0.35">
      <c r="B2" s="8" t="s">
        <v>14</v>
      </c>
      <c r="C2" s="8" t="s">
        <v>15</v>
      </c>
      <c r="D2" s="8" t="s">
        <v>16</v>
      </c>
      <c r="E2" s="8" t="s">
        <v>2</v>
      </c>
      <c r="F2" s="8" t="s">
        <v>17</v>
      </c>
      <c r="G2" s="8" t="s">
        <v>18</v>
      </c>
    </row>
    <row r="3" spans="2:7" x14ac:dyDescent="0.3">
      <c r="B3" s="9">
        <v>1</v>
      </c>
      <c r="C3" s="10" t="s">
        <v>31</v>
      </c>
      <c r="D3" s="10" t="s">
        <v>16</v>
      </c>
      <c r="E3" s="10">
        <v>50</v>
      </c>
      <c r="F3" s="11">
        <v>200000</v>
      </c>
      <c r="G3" s="11">
        <f>E3*F3</f>
        <v>10000000</v>
      </c>
    </row>
    <row r="4" spans="2:7" x14ac:dyDescent="0.3">
      <c r="B4" s="12">
        <v>2</v>
      </c>
      <c r="C4" s="13" t="s">
        <v>19</v>
      </c>
      <c r="D4" s="13" t="s">
        <v>16</v>
      </c>
      <c r="E4" s="13">
        <v>90</v>
      </c>
      <c r="F4" s="14">
        <v>70000</v>
      </c>
      <c r="G4" s="14">
        <f>E4*F4</f>
        <v>6300000</v>
      </c>
    </row>
    <row r="5" spans="2:7" x14ac:dyDescent="0.3">
      <c r="B5" s="12">
        <v>3</v>
      </c>
      <c r="C5" s="13" t="s">
        <v>34</v>
      </c>
      <c r="D5" s="13" t="s">
        <v>16</v>
      </c>
      <c r="E5" s="13">
        <v>30</v>
      </c>
      <c r="F5" s="14">
        <v>250000</v>
      </c>
      <c r="G5" s="14">
        <f t="shared" ref="G5:G14" si="0">E5*F5</f>
        <v>7500000</v>
      </c>
    </row>
    <row r="6" spans="2:7" x14ac:dyDescent="0.3">
      <c r="B6" s="12">
        <v>4</v>
      </c>
      <c r="C6" s="13" t="s">
        <v>20</v>
      </c>
      <c r="D6" s="13" t="s">
        <v>16</v>
      </c>
      <c r="E6" s="13">
        <v>30</v>
      </c>
      <c r="F6" s="14">
        <v>100000</v>
      </c>
      <c r="G6" s="14">
        <f t="shared" si="0"/>
        <v>3000000</v>
      </c>
    </row>
    <row r="7" spans="2:7" x14ac:dyDescent="0.3">
      <c r="B7" s="12">
        <v>5</v>
      </c>
      <c r="C7" s="13" t="s">
        <v>21</v>
      </c>
      <c r="D7" s="13" t="s">
        <v>22</v>
      </c>
      <c r="E7" s="13">
        <v>1</v>
      </c>
      <c r="F7" s="14">
        <v>150000</v>
      </c>
      <c r="G7" s="14">
        <f t="shared" si="0"/>
        <v>150000</v>
      </c>
    </row>
    <row r="8" spans="2:7" x14ac:dyDescent="0.3">
      <c r="B8" s="12">
        <v>6</v>
      </c>
      <c r="C8" s="13" t="s">
        <v>23</v>
      </c>
      <c r="D8" s="13" t="s">
        <v>22</v>
      </c>
      <c r="E8" s="13">
        <v>1</v>
      </c>
      <c r="F8" s="14">
        <v>500000</v>
      </c>
      <c r="G8" s="14">
        <f t="shared" si="0"/>
        <v>500000</v>
      </c>
    </row>
    <row r="9" spans="2:7" x14ac:dyDescent="0.3">
      <c r="B9" s="12">
        <v>7</v>
      </c>
      <c r="C9" s="13" t="s">
        <v>35</v>
      </c>
      <c r="D9" s="13" t="s">
        <v>22</v>
      </c>
      <c r="E9" s="13">
        <v>1</v>
      </c>
      <c r="F9" s="14">
        <v>350000</v>
      </c>
      <c r="G9" s="14">
        <f>E9*F9</f>
        <v>350000</v>
      </c>
    </row>
    <row r="10" spans="2:7" x14ac:dyDescent="0.3">
      <c r="B10" s="12">
        <v>8</v>
      </c>
      <c r="C10" s="13" t="s">
        <v>24</v>
      </c>
      <c r="D10" s="13" t="s">
        <v>16</v>
      </c>
      <c r="E10" s="13">
        <v>3</v>
      </c>
      <c r="F10" s="14">
        <v>32000000</v>
      </c>
      <c r="G10" s="14">
        <f t="shared" si="0"/>
        <v>96000000</v>
      </c>
    </row>
    <row r="11" spans="2:7" x14ac:dyDescent="0.3">
      <c r="B11" s="12">
        <v>9</v>
      </c>
      <c r="C11" s="13" t="s">
        <v>25</v>
      </c>
      <c r="D11" s="13" t="s">
        <v>26</v>
      </c>
      <c r="E11" s="14">
        <v>60000</v>
      </c>
      <c r="F11" s="14">
        <v>10000</v>
      </c>
      <c r="G11" s="14">
        <f t="shared" si="0"/>
        <v>600000000</v>
      </c>
    </row>
    <row r="12" spans="2:7" x14ac:dyDescent="0.3">
      <c r="B12" s="12">
        <v>10</v>
      </c>
      <c r="C12" s="13" t="s">
        <v>27</v>
      </c>
      <c r="D12" s="13" t="s">
        <v>28</v>
      </c>
      <c r="E12" s="13">
        <v>60</v>
      </c>
      <c r="F12" s="14">
        <v>100000</v>
      </c>
      <c r="G12" s="14">
        <f t="shared" si="0"/>
        <v>6000000</v>
      </c>
    </row>
    <row r="13" spans="2:7" x14ac:dyDescent="0.3">
      <c r="B13" s="12">
        <v>11</v>
      </c>
      <c r="C13" s="13" t="s">
        <v>33</v>
      </c>
      <c r="D13" s="13" t="s">
        <v>32</v>
      </c>
      <c r="E13" s="13">
        <v>12</v>
      </c>
      <c r="F13" s="14">
        <v>300000</v>
      </c>
      <c r="G13" s="14">
        <f t="shared" si="0"/>
        <v>3600000</v>
      </c>
    </row>
    <row r="14" spans="2:7" x14ac:dyDescent="0.3">
      <c r="B14" s="12">
        <v>12</v>
      </c>
      <c r="C14" s="13" t="s">
        <v>30</v>
      </c>
      <c r="D14" s="13" t="s">
        <v>22</v>
      </c>
      <c r="E14" s="13">
        <v>1</v>
      </c>
      <c r="F14" s="14">
        <v>3000000</v>
      </c>
      <c r="G14" s="14">
        <f t="shared" si="0"/>
        <v>3000000</v>
      </c>
    </row>
    <row r="15" spans="2:7" x14ac:dyDescent="0.3">
      <c r="B15" s="15"/>
      <c r="C15" s="15" t="s">
        <v>29</v>
      </c>
      <c r="D15" s="15"/>
      <c r="E15" s="15"/>
      <c r="F15" s="15"/>
      <c r="G15" s="16">
        <f>SUM(G3:G14)</f>
        <v>736400000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Personal</vt:lpstr>
      <vt:lpstr>Presupuesto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Joaco</dc:creator>
  <cp:lastModifiedBy>Joaquin Chanquia</cp:lastModifiedBy>
  <dcterms:created xsi:type="dcterms:W3CDTF">2015-06-05T18:19:34Z</dcterms:created>
  <dcterms:modified xsi:type="dcterms:W3CDTF">2025-10-02T00:16:02Z</dcterms:modified>
</cp:coreProperties>
</file>
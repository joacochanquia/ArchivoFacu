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Joaco\Documents\ArchivoFacu\9noSemestre\SDyP\"/>
    </mc:Choice>
  </mc:AlternateContent>
  <xr:revisionPtr revIDLastSave="0" documentId="13_ncr:1_{BAC8CD5D-8306-4C64-B3AE-021ECE237B1B}" xr6:coauthVersionLast="47" xr6:coauthVersionMax="47" xr10:uidLastSave="{00000000-0000-0000-0000-000000000000}"/>
  <bookViews>
    <workbookView xWindow="3756" yWindow="756" windowWidth="17280" windowHeight="10440" activeTab="1" xr2:uid="{00000000-000D-0000-FFFF-FFFF00000000}"/>
  </bookViews>
  <sheets>
    <sheet name="Pthreads" sheetId="1" r:id="rId1"/>
    <sheet name="MPI-Pthread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2" l="1"/>
  <c r="K4" i="2" s="1"/>
  <c r="E8" i="2"/>
  <c r="L4" i="2" s="1"/>
  <c r="I4" i="1"/>
  <c r="E29" i="2"/>
  <c r="L7" i="2" s="1"/>
  <c r="D29" i="2"/>
  <c r="C29" i="2"/>
  <c r="B29" i="2"/>
  <c r="E22" i="2"/>
  <c r="L6" i="2" s="1"/>
  <c r="D22" i="2"/>
  <c r="C22" i="2"/>
  <c r="J6" i="2" s="1"/>
  <c r="B22" i="2"/>
  <c r="I6" i="2" s="1"/>
  <c r="E15" i="2"/>
  <c r="D15" i="2"/>
  <c r="C15" i="2"/>
  <c r="B15" i="2"/>
  <c r="C8" i="2"/>
  <c r="J4" i="2" s="1"/>
  <c r="B8" i="2"/>
  <c r="K7" i="2"/>
  <c r="J7" i="2"/>
  <c r="I7" i="2"/>
  <c r="K6" i="2"/>
  <c r="L5" i="2"/>
  <c r="K5" i="2"/>
  <c r="J5" i="2"/>
  <c r="I5" i="2"/>
  <c r="I4" i="2"/>
  <c r="E22" i="1"/>
  <c r="L6" i="1" s="1"/>
  <c r="D22" i="1"/>
  <c r="K6" i="1" s="1"/>
  <c r="C22" i="1"/>
  <c r="J6" i="1" s="1"/>
  <c r="B22" i="1"/>
  <c r="I6" i="1" s="1"/>
  <c r="E15" i="1"/>
  <c r="L5" i="1" s="1"/>
  <c r="D15" i="1"/>
  <c r="K5" i="1" s="1"/>
  <c r="C15" i="1"/>
  <c r="J5" i="1" s="1"/>
  <c r="B15" i="1"/>
  <c r="E8" i="1"/>
  <c r="L4" i="1" s="1"/>
  <c r="D8" i="1"/>
  <c r="K4" i="1" s="1"/>
  <c r="C8" i="1"/>
  <c r="J4" i="1" s="1"/>
  <c r="B8" i="1"/>
  <c r="I5" i="1"/>
  <c r="I13" i="2" l="1"/>
  <c r="I20" i="2" s="1"/>
  <c r="L13" i="2"/>
  <c r="L20" i="2" s="1"/>
  <c r="J14" i="2"/>
  <c r="J21" i="2" s="1"/>
  <c r="J11" i="2"/>
  <c r="J18" i="2" s="1"/>
  <c r="J13" i="2"/>
  <c r="J20" i="2" s="1"/>
  <c r="K13" i="2"/>
  <c r="K20" i="2" s="1"/>
  <c r="I12" i="1"/>
  <c r="I19" i="1" s="1"/>
  <c r="I13" i="1"/>
  <c r="I20" i="1" s="1"/>
  <c r="I11" i="1"/>
  <c r="I18" i="1" s="1"/>
  <c r="J12" i="1"/>
  <c r="J19" i="1" s="1"/>
  <c r="J13" i="1"/>
  <c r="J20" i="1" s="1"/>
  <c r="J11" i="1"/>
  <c r="J18" i="1" s="1"/>
  <c r="K13" i="1"/>
  <c r="K20" i="1" s="1"/>
  <c r="K11" i="1"/>
  <c r="K18" i="1" s="1"/>
  <c r="K12" i="1"/>
  <c r="K19" i="1" s="1"/>
  <c r="L13" i="1"/>
  <c r="L20" i="1" s="1"/>
  <c r="L11" i="1"/>
  <c r="L18" i="1" s="1"/>
  <c r="L12" i="1"/>
  <c r="L19" i="1" s="1"/>
  <c r="I12" i="2"/>
  <c r="I19" i="2" s="1"/>
  <c r="I14" i="2"/>
  <c r="I21" i="2" s="1"/>
  <c r="J12" i="2"/>
  <c r="J19" i="2" s="1"/>
  <c r="K12" i="2"/>
  <c r="K19" i="2" s="1"/>
  <c r="K14" i="2"/>
  <c r="K21" i="2" s="1"/>
  <c r="L12" i="2"/>
  <c r="L19" i="2" s="1"/>
  <c r="L14" i="2"/>
  <c r="L21" i="2" s="1"/>
  <c r="I11" i="2"/>
  <c r="I18" i="2" s="1"/>
  <c r="K11" i="2"/>
  <c r="K18" i="2" s="1"/>
  <c r="L11" i="2"/>
  <c r="L18" i="2" s="1"/>
</calcChain>
</file>

<file path=xl/sharedStrings.xml><?xml version="1.0" encoding="utf-8"?>
<sst xmlns="http://schemas.openxmlformats.org/spreadsheetml/2006/main" count="77" uniqueCount="19">
  <si>
    <t>DT = 200</t>
  </si>
  <si>
    <t>PASOS=1000</t>
  </si>
  <si>
    <t>Tiempos</t>
  </si>
  <si>
    <t>Tamaño de problema (N)</t>
  </si>
  <si>
    <t>Código secuencial</t>
  </si>
  <si>
    <t>Unidades de procesamiento (T)</t>
  </si>
  <si>
    <t xml:space="preserve">N= </t>
  </si>
  <si>
    <t>IT1</t>
  </si>
  <si>
    <t>IT2</t>
  </si>
  <si>
    <t>IT3</t>
  </si>
  <si>
    <t>PROM</t>
  </si>
  <si>
    <t>Speedup</t>
  </si>
  <si>
    <t>Código Pthread</t>
  </si>
  <si>
    <t>T=4</t>
  </si>
  <si>
    <t>Eficiencia</t>
  </si>
  <si>
    <t>T=8</t>
  </si>
  <si>
    <t>Distancia promedio al secuencial</t>
  </si>
  <si>
    <t>Código MPI + Pthreads</t>
  </si>
  <si>
    <t>T=16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</si>
</sst>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name val="Arial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</fills>
  <borders count="51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  <border>
      <left style="thin">
        <color rgb="FF666666"/>
      </left>
      <right/>
      <top style="thin">
        <color rgb="FF666666"/>
      </top>
      <bottom style="thin">
        <color rgb="FF666666"/>
      </bottom>
      <diagonal/>
    </border>
    <border>
      <left/>
      <right/>
      <top style="thin">
        <color rgb="FF666666"/>
      </top>
      <bottom style="thin">
        <color rgb="FF666666"/>
      </bottom>
      <diagonal/>
    </border>
    <border>
      <left/>
      <right style="thin">
        <color rgb="FF666666"/>
      </right>
      <top style="thin">
        <color rgb="FF666666"/>
      </top>
      <bottom style="thin">
        <color rgb="FF666666"/>
      </bottom>
      <diagonal/>
    </border>
    <border>
      <left style="medium">
        <color theme="1" tint="0.14996795556505021"/>
      </left>
      <right style="medium">
        <color theme="1" tint="0.14996795556505021"/>
      </right>
      <top style="medium">
        <color theme="1" tint="0.14996795556505021"/>
      </top>
      <bottom style="medium">
        <color theme="1" tint="0.14996795556505021"/>
      </bottom>
      <diagonal/>
    </border>
    <border>
      <left style="medium">
        <color theme="1" tint="0.14996795556505021"/>
      </left>
      <right style="thin">
        <color theme="1" tint="0.14996795556505021"/>
      </right>
      <top style="medium">
        <color theme="1" tint="0.14996795556505021"/>
      </top>
      <bottom style="medium">
        <color theme="1" tint="0.14996795556505021"/>
      </bottom>
      <diagonal/>
    </border>
    <border>
      <left style="thin">
        <color theme="1" tint="0.14996795556505021"/>
      </left>
      <right style="thin">
        <color theme="1" tint="0.14996795556505021"/>
      </right>
      <top style="medium">
        <color theme="1" tint="0.14996795556505021"/>
      </top>
      <bottom style="medium">
        <color theme="1" tint="0.14996795556505021"/>
      </bottom>
      <diagonal/>
    </border>
    <border>
      <left style="thin">
        <color theme="1" tint="0.14996795556505021"/>
      </left>
      <right style="medium">
        <color theme="1" tint="0.14996795556505021"/>
      </right>
      <top style="medium">
        <color theme="1" tint="0.14996795556505021"/>
      </top>
      <bottom style="medium">
        <color theme="1" tint="0.14996795556505021"/>
      </bottom>
      <diagonal/>
    </border>
    <border>
      <left style="medium">
        <color theme="1" tint="0.14996795556505021"/>
      </left>
      <right style="medium">
        <color theme="1" tint="0.14996795556505021"/>
      </right>
      <top style="medium">
        <color theme="1" tint="0.14996795556505021"/>
      </top>
      <bottom style="thin">
        <color theme="1" tint="0.14996795556505021"/>
      </bottom>
      <diagonal/>
    </border>
    <border>
      <left style="medium">
        <color theme="1" tint="0.14996795556505021"/>
      </left>
      <right style="medium">
        <color theme="1" tint="0.14996795556505021"/>
      </right>
      <top style="thin">
        <color theme="1" tint="0.14996795556505021"/>
      </top>
      <bottom style="thin">
        <color theme="1" tint="0.14996795556505021"/>
      </bottom>
      <diagonal/>
    </border>
    <border>
      <left style="medium">
        <color theme="1" tint="0.14996795556505021"/>
      </left>
      <right style="medium">
        <color theme="1" tint="0.14996795556505021"/>
      </right>
      <top style="thin">
        <color theme="1" tint="0.14996795556505021"/>
      </top>
      <bottom style="medium">
        <color theme="1" tint="0.14996795556505021"/>
      </bottom>
      <diagonal/>
    </border>
    <border>
      <left style="medium">
        <color theme="1" tint="0.14996795556505021"/>
      </left>
      <right style="thin">
        <color theme="1" tint="0.14996795556505021"/>
      </right>
      <top style="medium">
        <color theme="1" tint="0.14996795556505021"/>
      </top>
      <bottom style="thin">
        <color theme="1" tint="0.14996795556505021"/>
      </bottom>
      <diagonal/>
    </border>
    <border>
      <left style="thin">
        <color theme="1" tint="0.14996795556505021"/>
      </left>
      <right style="thin">
        <color theme="1" tint="0.14996795556505021"/>
      </right>
      <top style="medium">
        <color theme="1" tint="0.14996795556505021"/>
      </top>
      <bottom style="thin">
        <color theme="1" tint="0.14996795556505021"/>
      </bottom>
      <diagonal/>
    </border>
    <border>
      <left style="thin">
        <color theme="1" tint="0.14996795556505021"/>
      </left>
      <right style="medium">
        <color theme="1" tint="0.14996795556505021"/>
      </right>
      <top style="medium">
        <color theme="1" tint="0.14996795556505021"/>
      </top>
      <bottom style="thin">
        <color theme="1" tint="0.14996795556505021"/>
      </bottom>
      <diagonal/>
    </border>
    <border>
      <left style="medium">
        <color theme="1" tint="0.14996795556505021"/>
      </left>
      <right style="thin">
        <color theme="1" tint="0.14996795556505021"/>
      </right>
      <top style="thin">
        <color theme="1" tint="0.14996795556505021"/>
      </top>
      <bottom style="thin">
        <color theme="1" tint="0.14996795556505021"/>
      </bottom>
      <diagonal/>
    </border>
    <border>
      <left style="thin">
        <color theme="1" tint="0.14996795556505021"/>
      </left>
      <right style="thin">
        <color theme="1" tint="0.14996795556505021"/>
      </right>
      <top style="thin">
        <color theme="1" tint="0.14996795556505021"/>
      </top>
      <bottom style="thin">
        <color theme="1" tint="0.14996795556505021"/>
      </bottom>
      <diagonal/>
    </border>
    <border>
      <left style="thin">
        <color theme="1" tint="0.14996795556505021"/>
      </left>
      <right style="medium">
        <color theme="1" tint="0.14996795556505021"/>
      </right>
      <top style="thin">
        <color theme="1" tint="0.14996795556505021"/>
      </top>
      <bottom style="thin">
        <color theme="1" tint="0.14996795556505021"/>
      </bottom>
      <diagonal/>
    </border>
    <border>
      <left style="medium">
        <color theme="1" tint="0.14996795556505021"/>
      </left>
      <right style="thin">
        <color theme="1" tint="0.14996795556505021"/>
      </right>
      <top style="thin">
        <color theme="1" tint="0.14996795556505021"/>
      </top>
      <bottom style="medium">
        <color theme="1" tint="0.14996795556505021"/>
      </bottom>
      <diagonal/>
    </border>
    <border>
      <left style="thin">
        <color theme="1" tint="0.14996795556505021"/>
      </left>
      <right style="thin">
        <color theme="1" tint="0.14996795556505021"/>
      </right>
      <top style="thin">
        <color theme="1" tint="0.14996795556505021"/>
      </top>
      <bottom style="medium">
        <color theme="1" tint="0.14996795556505021"/>
      </bottom>
      <diagonal/>
    </border>
    <border>
      <left style="thin">
        <color theme="1" tint="0.14996795556505021"/>
      </left>
      <right style="medium">
        <color theme="1" tint="0.14996795556505021"/>
      </right>
      <top style="thin">
        <color theme="1" tint="0.14996795556505021"/>
      </top>
      <bottom style="medium">
        <color theme="1" tint="0.14996795556505021"/>
      </bottom>
      <diagonal/>
    </border>
    <border>
      <left style="medium">
        <color theme="2"/>
      </left>
      <right style="medium">
        <color theme="2"/>
      </right>
      <top style="medium">
        <color theme="1" tint="0.14996795556505021"/>
      </top>
      <bottom style="medium">
        <color theme="2"/>
      </bottom>
      <diagonal/>
    </border>
    <border>
      <left style="medium">
        <color theme="2"/>
      </left>
      <right style="medium">
        <color theme="2"/>
      </right>
      <top style="medium">
        <color theme="2"/>
      </top>
      <bottom style="medium">
        <color theme="1" tint="0.14996795556505021"/>
      </bottom>
      <diagonal/>
    </border>
    <border>
      <left/>
      <right/>
      <top style="thin">
        <color theme="2"/>
      </top>
      <bottom style="thin">
        <color theme="2"/>
      </bottom>
      <diagonal/>
    </border>
    <border>
      <left/>
      <right style="thin">
        <color theme="2"/>
      </right>
      <top style="thin">
        <color theme="2"/>
      </top>
      <bottom/>
      <diagonal/>
    </border>
    <border>
      <left style="thin">
        <color theme="2"/>
      </left>
      <right style="thin">
        <color theme="2"/>
      </right>
      <top/>
      <bottom/>
      <diagonal/>
    </border>
    <border>
      <left style="thin">
        <color theme="2"/>
      </left>
      <right/>
      <top/>
      <bottom/>
      <diagonal/>
    </border>
    <border>
      <left style="thin">
        <color theme="2"/>
      </left>
      <right/>
      <top style="thin">
        <color theme="2"/>
      </top>
      <bottom/>
      <diagonal/>
    </border>
    <border>
      <left/>
      <right style="thin">
        <color theme="2"/>
      </right>
      <top/>
      <bottom/>
      <diagonal/>
    </border>
    <border>
      <left style="thin">
        <color theme="2"/>
      </left>
      <right/>
      <top/>
      <bottom style="thin">
        <color theme="2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medium">
        <color theme="1" tint="0.14996795556505021"/>
      </top>
      <bottom style="thin">
        <color theme="2"/>
      </bottom>
      <diagonal/>
    </border>
    <border>
      <left style="thin">
        <color theme="2"/>
      </left>
      <right style="medium">
        <color theme="2"/>
      </right>
      <top style="medium">
        <color theme="1" tint="0.14996795556505021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medium">
        <color theme="1" tint="0.14996795556505021"/>
      </bottom>
      <diagonal/>
    </border>
    <border>
      <left style="thin">
        <color theme="2"/>
      </left>
      <right style="medium">
        <color theme="2"/>
      </right>
      <top style="thin">
        <color theme="2"/>
      </top>
      <bottom style="medium">
        <color theme="1" tint="0.14996795556505021"/>
      </bottom>
      <diagonal/>
    </border>
    <border>
      <left style="medium">
        <color theme="2"/>
      </left>
      <right style="thin">
        <color theme="2"/>
      </right>
      <top style="medium">
        <color theme="1" tint="0.14996795556505021"/>
      </top>
      <bottom style="thin">
        <color theme="2"/>
      </bottom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  <border>
      <left style="medium">
        <color theme="2"/>
      </left>
      <right style="thin">
        <color theme="2"/>
      </right>
      <top style="thin">
        <color theme="2"/>
      </top>
      <bottom style="medium">
        <color theme="1" tint="0.14996795556505021"/>
      </bottom>
      <diagonal/>
    </border>
    <border>
      <left/>
      <right style="thin">
        <color theme="2"/>
      </right>
      <top/>
      <bottom style="thin">
        <color theme="2"/>
      </bottom>
      <diagonal/>
    </border>
    <border>
      <left style="thin">
        <color theme="2"/>
      </left>
      <right style="thin">
        <color theme="2"/>
      </right>
      <top style="medium">
        <color theme="1" tint="0.14996795556505021"/>
      </top>
      <bottom/>
      <diagonal/>
    </border>
    <border>
      <left style="thin">
        <color theme="2"/>
      </left>
      <right style="medium">
        <color theme="2"/>
      </right>
      <top style="medium">
        <color theme="1" tint="0.14996795556505021"/>
      </top>
      <bottom/>
      <diagonal/>
    </border>
    <border>
      <left style="medium">
        <color theme="2"/>
      </left>
      <right style="medium">
        <color theme="2"/>
      </right>
      <top style="medium">
        <color theme="1" tint="0.14996795556505021"/>
      </top>
      <bottom/>
      <diagonal/>
    </border>
    <border>
      <left style="medium">
        <color theme="2"/>
      </left>
      <right style="thin">
        <color theme="2"/>
      </right>
      <top style="medium">
        <color theme="1" tint="0.14996795556505021"/>
      </top>
      <bottom/>
      <diagonal/>
    </border>
    <border>
      <left style="thin">
        <color theme="2"/>
      </left>
      <right style="thin">
        <color theme="2"/>
      </right>
      <top/>
      <bottom style="medium">
        <color theme="1" tint="0.14996795556505021"/>
      </bottom>
      <diagonal/>
    </border>
    <border>
      <left style="thin">
        <color theme="2"/>
      </left>
      <right style="medium">
        <color theme="2"/>
      </right>
      <top/>
      <bottom style="medium">
        <color theme="1" tint="0.14996795556505021"/>
      </bottom>
      <diagonal/>
    </border>
    <border>
      <left style="medium">
        <color theme="2"/>
      </left>
      <right style="medium">
        <color theme="2"/>
      </right>
      <top/>
      <bottom style="medium">
        <color theme="1" tint="0.14996795556505021"/>
      </bottom>
      <diagonal/>
    </border>
    <border>
      <left style="medium">
        <color theme="2"/>
      </left>
      <right style="thin">
        <color theme="2"/>
      </right>
      <top/>
      <bottom style="medium">
        <color theme="1" tint="0.14996795556505021"/>
      </bottom>
      <diagonal/>
    </border>
    <border>
      <left style="medium">
        <color rgb="FF666666"/>
      </left>
      <right style="medium">
        <color rgb="FF666666"/>
      </right>
      <top style="medium">
        <color rgb="FF666666"/>
      </top>
      <bottom style="medium">
        <color rgb="FF666666"/>
      </bottom>
      <diagonal/>
    </border>
    <border>
      <left style="medium">
        <color rgb="FFCCCCCC"/>
      </left>
      <right style="medium">
        <color rgb="FF666666"/>
      </right>
      <top style="medium">
        <color rgb="FF666666"/>
      </top>
      <bottom style="medium">
        <color rgb="FF666666"/>
      </bottom>
      <diagonal/>
    </border>
    <border>
      <left style="medium">
        <color rgb="FF666666"/>
      </left>
      <right style="medium">
        <color rgb="FF666666"/>
      </right>
      <top style="medium">
        <color rgb="FFCCCCCC"/>
      </top>
      <bottom style="medium">
        <color rgb="FF666666"/>
      </bottom>
      <diagonal/>
    </border>
    <border>
      <left style="medium">
        <color rgb="FFCCCCCC"/>
      </left>
      <right style="medium">
        <color rgb="FF666666"/>
      </right>
      <top style="medium">
        <color rgb="FFCCCCCC"/>
      </top>
      <bottom style="medium">
        <color rgb="FF666666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2" borderId="1" xfId="0" applyFont="1" applyFill="1" applyBorder="1"/>
    <xf numFmtId="0" fontId="1" fillId="0" borderId="5" xfId="0" applyFont="1" applyBorder="1" applyAlignment="1">
      <alignment horizontal="center"/>
    </xf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2" fontId="1" fillId="0" borderId="12" xfId="0" applyNumberFormat="1" applyFont="1" applyBorder="1"/>
    <xf numFmtId="2" fontId="1" fillId="0" borderId="13" xfId="0" applyNumberFormat="1" applyFont="1" applyBorder="1"/>
    <xf numFmtId="2" fontId="1" fillId="0" borderId="14" xfId="0" applyNumberFormat="1" applyFont="1" applyBorder="1"/>
    <xf numFmtId="2" fontId="1" fillId="0" borderId="15" xfId="0" applyNumberFormat="1" applyFont="1" applyBorder="1"/>
    <xf numFmtId="2" fontId="1" fillId="0" borderId="16" xfId="0" applyNumberFormat="1" applyFont="1" applyBorder="1"/>
    <xf numFmtId="2" fontId="1" fillId="0" borderId="17" xfId="0" applyNumberFormat="1" applyFont="1" applyBorder="1"/>
    <xf numFmtId="2" fontId="1" fillId="0" borderId="18" xfId="0" applyNumberFormat="1" applyFont="1" applyBorder="1"/>
    <xf numFmtId="2" fontId="1" fillId="0" borderId="19" xfId="0" applyNumberFormat="1" applyFont="1" applyBorder="1"/>
    <xf numFmtId="2" fontId="1" fillId="0" borderId="20" xfId="0" applyNumberFormat="1" applyFont="1" applyBorder="1"/>
    <xf numFmtId="0" fontId="1" fillId="0" borderId="12" xfId="0" applyFont="1" applyBorder="1"/>
    <xf numFmtId="0" fontId="1" fillId="0" borderId="13" xfId="0" applyFont="1" applyBorder="1"/>
    <xf numFmtId="0" fontId="1" fillId="0" borderId="14" xfId="0" applyFont="1" applyBorder="1"/>
    <xf numFmtId="0" fontId="1" fillId="0" borderId="15" xfId="0" applyFont="1" applyBorder="1"/>
    <xf numFmtId="0" fontId="1" fillId="0" borderId="16" xfId="0" applyFont="1" applyBorder="1"/>
    <xf numFmtId="0" fontId="1" fillId="0" borderId="17" xfId="0" applyFont="1" applyBorder="1"/>
    <xf numFmtId="0" fontId="1" fillId="0" borderId="18" xfId="0" applyFont="1" applyBorder="1"/>
    <xf numFmtId="0" fontId="1" fillId="0" borderId="19" xfId="0" applyFont="1" applyBorder="1"/>
    <xf numFmtId="0" fontId="1" fillId="0" borderId="20" xfId="0" applyFont="1" applyBorder="1"/>
    <xf numFmtId="164" fontId="1" fillId="0" borderId="12" xfId="0" applyNumberFormat="1" applyFont="1" applyBorder="1"/>
    <xf numFmtId="164" fontId="1" fillId="0" borderId="13" xfId="0" applyNumberFormat="1" applyFont="1" applyBorder="1"/>
    <xf numFmtId="164" fontId="1" fillId="0" borderId="14" xfId="0" applyNumberFormat="1" applyFont="1" applyBorder="1"/>
    <xf numFmtId="164" fontId="1" fillId="0" borderId="15" xfId="0" applyNumberFormat="1" applyFont="1" applyBorder="1"/>
    <xf numFmtId="164" fontId="1" fillId="0" borderId="16" xfId="0" applyNumberFormat="1" applyFont="1" applyBorder="1"/>
    <xf numFmtId="164" fontId="1" fillId="0" borderId="17" xfId="0" applyNumberFormat="1" applyFont="1" applyBorder="1"/>
    <xf numFmtId="164" fontId="1" fillId="0" borderId="18" xfId="0" applyNumberFormat="1" applyFont="1" applyBorder="1"/>
    <xf numFmtId="164" fontId="1" fillId="0" borderId="19" xfId="0" applyNumberFormat="1" applyFont="1" applyBorder="1"/>
    <xf numFmtId="164" fontId="1" fillId="0" borderId="20" xfId="0" applyNumberFormat="1" applyFont="1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0" fillId="0" borderId="35" xfId="0" applyBorder="1"/>
    <xf numFmtId="0" fontId="1" fillId="0" borderId="36" xfId="0" applyFont="1" applyBorder="1"/>
    <xf numFmtId="0" fontId="0" fillId="0" borderId="37" xfId="0" applyBorder="1"/>
    <xf numFmtId="0" fontId="0" fillId="0" borderId="36" xfId="0" applyBorder="1"/>
    <xf numFmtId="0" fontId="1" fillId="0" borderId="38" xfId="0" applyFont="1" applyBorder="1"/>
    <xf numFmtId="0" fontId="0" fillId="0" borderId="39" xfId="0" applyBorder="1"/>
    <xf numFmtId="0" fontId="0" fillId="0" borderId="40" xfId="0" applyBorder="1"/>
    <xf numFmtId="0" fontId="0" fillId="0" borderId="41" xfId="0" applyBorder="1"/>
    <xf numFmtId="0" fontId="0" fillId="0" borderId="42" xfId="0" applyBorder="1"/>
    <xf numFmtId="0" fontId="0" fillId="0" borderId="38" xfId="0" applyBorder="1"/>
    <xf numFmtId="0" fontId="0" fillId="0" borderId="43" xfId="0" applyBorder="1"/>
    <xf numFmtId="0" fontId="0" fillId="0" borderId="44" xfId="0" applyBorder="1"/>
    <xf numFmtId="0" fontId="0" fillId="0" borderId="45" xfId="0" applyBorder="1"/>
    <xf numFmtId="0" fontId="0" fillId="0" borderId="46" xfId="0" applyBorder="1"/>
    <xf numFmtId="0" fontId="3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2" fillId="0" borderId="7" xfId="0" applyFont="1" applyBorder="1"/>
    <xf numFmtId="0" fontId="2" fillId="0" borderId="8" xfId="0" applyFont="1" applyBorder="1"/>
    <xf numFmtId="0" fontId="1" fillId="0" borderId="2" xfId="0" applyFont="1" applyBorder="1" applyAlignment="1">
      <alignment horizontal="center"/>
    </xf>
    <xf numFmtId="0" fontId="2" fillId="0" borderId="3" xfId="0" applyFont="1" applyBorder="1"/>
    <xf numFmtId="0" fontId="2" fillId="0" borderId="4" xfId="0" applyFont="1" applyBorder="1"/>
    <xf numFmtId="0" fontId="1" fillId="0" borderId="0" xfId="0" applyFont="1" applyAlignment="1">
      <alignment horizontal="center"/>
    </xf>
    <xf numFmtId="0" fontId="0" fillId="0" borderId="0" xfId="0"/>
    <xf numFmtId="0" fontId="4" fillId="0" borderId="47" xfId="0" applyFont="1" applyBorder="1" applyAlignment="1">
      <alignment horizontal="right" wrapText="1"/>
    </xf>
    <xf numFmtId="0" fontId="4" fillId="0" borderId="48" xfId="0" applyFont="1" applyBorder="1" applyAlignment="1">
      <alignment horizontal="right" wrapText="1"/>
    </xf>
    <xf numFmtId="0" fontId="4" fillId="0" borderId="49" xfId="0" applyFont="1" applyBorder="1" applyAlignment="1">
      <alignment wrapText="1"/>
    </xf>
    <xf numFmtId="0" fontId="4" fillId="0" borderId="50" xfId="0" applyFont="1" applyBorder="1" applyAlignment="1">
      <alignment wrapText="1"/>
    </xf>
    <xf numFmtId="0" fontId="4" fillId="0" borderId="49" xfId="0" applyFont="1" applyBorder="1" applyAlignment="1">
      <alignment horizontal="right" wrapText="1"/>
    </xf>
    <xf numFmtId="0" fontId="4" fillId="0" borderId="50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28"/>
  <sheetViews>
    <sheetView zoomScale="85" zoomScaleNormal="85" workbookViewId="0">
      <selection activeCell="H31" sqref="H31"/>
    </sheetView>
  </sheetViews>
  <sheetFormatPr baseColWidth="10" defaultColWidth="12.6640625" defaultRowHeight="15.75" customHeight="1" x14ac:dyDescent="0.25"/>
  <cols>
    <col min="1" max="1" width="14.6640625" customWidth="1"/>
    <col min="6" max="6" width="6.33203125" customWidth="1"/>
    <col min="7" max="7" width="3.44140625" customWidth="1"/>
    <col min="8" max="8" width="28.33203125" bestFit="1" customWidth="1"/>
    <col min="13" max="13" width="3.33203125" customWidth="1"/>
    <col min="14" max="14" width="12.44140625" customWidth="1"/>
    <col min="15" max="15" width="24.33203125" customWidth="1"/>
  </cols>
  <sheetData>
    <row r="1" spans="1:19" ht="15.75" customHeight="1" thickBot="1" x14ac:dyDescent="0.3">
      <c r="G1" s="57"/>
      <c r="H1" s="43"/>
      <c r="I1" s="43"/>
      <c r="J1" s="43"/>
      <c r="K1" s="43"/>
      <c r="L1" s="43"/>
      <c r="M1" s="47"/>
    </row>
    <row r="2" spans="1:19" ht="13.8" thickBot="1" x14ac:dyDescent="0.3">
      <c r="C2" s="1" t="s">
        <v>0</v>
      </c>
      <c r="D2" s="1" t="s">
        <v>1</v>
      </c>
      <c r="G2" s="41"/>
      <c r="H2" s="5" t="s">
        <v>2</v>
      </c>
      <c r="I2" s="68" t="s">
        <v>3</v>
      </c>
      <c r="J2" s="69"/>
      <c r="K2" s="69"/>
      <c r="L2" s="70"/>
      <c r="M2" s="41"/>
      <c r="O2" s="2"/>
      <c r="P2" s="74"/>
      <c r="Q2" s="75"/>
      <c r="R2" s="75"/>
      <c r="S2" s="75"/>
    </row>
    <row r="3" spans="1:19" ht="13.8" thickBot="1" x14ac:dyDescent="0.3">
      <c r="A3" s="3" t="s">
        <v>4</v>
      </c>
      <c r="B3" s="71" t="s">
        <v>3</v>
      </c>
      <c r="C3" s="72"/>
      <c r="D3" s="72"/>
      <c r="E3" s="73"/>
      <c r="G3" s="41"/>
      <c r="H3" s="5" t="s">
        <v>5</v>
      </c>
      <c r="I3" s="6">
        <v>512</v>
      </c>
      <c r="J3" s="7">
        <v>1024</v>
      </c>
      <c r="K3" s="7">
        <v>2048</v>
      </c>
      <c r="L3" s="8">
        <v>4096</v>
      </c>
      <c r="M3" s="41"/>
      <c r="O3" s="2"/>
      <c r="P3" s="1"/>
      <c r="Q3" s="1"/>
      <c r="R3" s="1"/>
      <c r="S3" s="1"/>
    </row>
    <row r="4" spans="1:19" ht="13.2" x14ac:dyDescent="0.25">
      <c r="A4" s="3" t="s">
        <v>6</v>
      </c>
      <c r="B4" s="3">
        <v>512</v>
      </c>
      <c r="C4" s="3">
        <v>1024</v>
      </c>
      <c r="D4" s="3">
        <v>2048</v>
      </c>
      <c r="E4" s="3">
        <v>4096</v>
      </c>
      <c r="G4" s="41"/>
      <c r="H4" s="9">
        <v>1</v>
      </c>
      <c r="I4" s="12">
        <f>B8</f>
        <v>11.321839666666667</v>
      </c>
      <c r="J4" s="13">
        <f t="shared" ref="J4:L4" si="0">C8</f>
        <v>45.437935333333336</v>
      </c>
      <c r="K4" s="13">
        <f t="shared" si="0"/>
        <v>181.34970433333334</v>
      </c>
      <c r="L4" s="14">
        <f t="shared" si="0"/>
        <v>728.67216566666673</v>
      </c>
      <c r="M4" s="41"/>
      <c r="O4" s="1"/>
      <c r="P4" s="1"/>
      <c r="Q4" s="1"/>
    </row>
    <row r="5" spans="1:19" ht="13.2" x14ac:dyDescent="0.25">
      <c r="A5" s="3" t="s">
        <v>7</v>
      </c>
      <c r="B5" s="3">
        <v>11.297298</v>
      </c>
      <c r="C5" s="3">
        <v>45.446570999999999</v>
      </c>
      <c r="D5" s="3">
        <v>182.368472</v>
      </c>
      <c r="E5" s="3">
        <v>727.73198400000001</v>
      </c>
      <c r="G5" s="41"/>
      <c r="H5" s="10">
        <v>4</v>
      </c>
      <c r="I5" s="15">
        <f t="shared" ref="I5:L5" si="1">B15</f>
        <v>3.2331600000000003</v>
      </c>
      <c r="J5" s="16">
        <f t="shared" si="1"/>
        <v>12.805617666666668</v>
      </c>
      <c r="K5" s="16">
        <f t="shared" si="1"/>
        <v>50.879348</v>
      </c>
      <c r="L5" s="17">
        <f t="shared" si="1"/>
        <v>204.47975966666664</v>
      </c>
      <c r="M5" s="41"/>
      <c r="O5" s="1"/>
      <c r="P5" s="1"/>
      <c r="Q5" s="1"/>
    </row>
    <row r="6" spans="1:19" ht="13.8" thickBot="1" x14ac:dyDescent="0.3">
      <c r="A6" s="3" t="s">
        <v>8</v>
      </c>
      <c r="B6" s="3">
        <v>11.312029000000001</v>
      </c>
      <c r="C6" s="3">
        <v>45.468978</v>
      </c>
      <c r="D6" s="3">
        <v>182.23208399999999</v>
      </c>
      <c r="E6" s="3">
        <v>730.08173899999997</v>
      </c>
      <c r="G6" s="41"/>
      <c r="H6" s="11">
        <v>8</v>
      </c>
      <c r="I6" s="18">
        <f t="shared" ref="I6:L6" si="2">B22</f>
        <v>1.7401183333333332</v>
      </c>
      <c r="J6" s="19">
        <f t="shared" si="2"/>
        <v>6.7377543333333323</v>
      </c>
      <c r="K6" s="19">
        <f t="shared" si="2"/>
        <v>25.978661666666667</v>
      </c>
      <c r="L6" s="20">
        <f t="shared" si="2"/>
        <v>101.75176233333333</v>
      </c>
      <c r="M6" s="41"/>
      <c r="O6" s="1"/>
      <c r="P6" s="1"/>
    </row>
    <row r="7" spans="1:19" ht="13.2" x14ac:dyDescent="0.25">
      <c r="A7" s="3" t="s">
        <v>9</v>
      </c>
      <c r="B7" s="3">
        <v>11.356192</v>
      </c>
      <c r="C7" s="3">
        <v>45.398257000000001</v>
      </c>
      <c r="D7" s="3">
        <v>179.44855699999999</v>
      </c>
      <c r="E7" s="3">
        <v>728.20277399999998</v>
      </c>
      <c r="G7" s="48"/>
      <c r="H7" s="49"/>
      <c r="I7" s="49"/>
      <c r="J7" s="50"/>
      <c r="K7" s="53"/>
      <c r="L7" s="49"/>
      <c r="M7" s="54"/>
      <c r="O7" s="1"/>
      <c r="P7" s="1"/>
    </row>
    <row r="8" spans="1:19" ht="13.8" thickBot="1" x14ac:dyDescent="0.3">
      <c r="A8" s="4" t="s">
        <v>10</v>
      </c>
      <c r="B8" s="4">
        <f t="shared" ref="B8:E8" si="3">AVERAGE(B5:B7)</f>
        <v>11.321839666666667</v>
      </c>
      <c r="C8" s="4">
        <f t="shared" si="3"/>
        <v>45.437935333333336</v>
      </c>
      <c r="D8" s="4">
        <f t="shared" si="3"/>
        <v>181.34970433333334</v>
      </c>
      <c r="E8" s="4">
        <f t="shared" si="3"/>
        <v>728.67216566666673</v>
      </c>
      <c r="G8" s="48"/>
      <c r="H8" s="51"/>
      <c r="I8" s="51"/>
      <c r="J8" s="52"/>
      <c r="K8" s="55"/>
      <c r="L8" s="51"/>
      <c r="M8" s="56"/>
    </row>
    <row r="9" spans="1:19" ht="13.8" thickBot="1" x14ac:dyDescent="0.3">
      <c r="A9" s="1"/>
      <c r="G9" s="41"/>
      <c r="H9" s="5" t="s">
        <v>11</v>
      </c>
      <c r="I9" s="68" t="s">
        <v>3</v>
      </c>
      <c r="J9" s="69"/>
      <c r="K9" s="69"/>
      <c r="L9" s="70"/>
      <c r="M9" s="41"/>
      <c r="O9" s="2"/>
      <c r="P9" s="74"/>
      <c r="Q9" s="75"/>
      <c r="R9" s="75"/>
      <c r="S9" s="75"/>
    </row>
    <row r="10" spans="1:19" ht="13.8" thickBot="1" x14ac:dyDescent="0.3">
      <c r="A10" s="3" t="s">
        <v>12</v>
      </c>
      <c r="B10" s="71" t="s">
        <v>3</v>
      </c>
      <c r="C10" s="72"/>
      <c r="D10" s="72"/>
      <c r="E10" s="73"/>
      <c r="G10" s="41"/>
      <c r="H10" s="67" t="s">
        <v>5</v>
      </c>
      <c r="I10" s="6">
        <v>512</v>
      </c>
      <c r="J10" s="7">
        <v>1024</v>
      </c>
      <c r="K10" s="7">
        <v>2048</v>
      </c>
      <c r="L10" s="8">
        <v>4096</v>
      </c>
      <c r="M10" s="41"/>
      <c r="O10" s="2"/>
      <c r="P10" s="1"/>
      <c r="Q10" s="1"/>
      <c r="R10" s="1"/>
      <c r="S10" s="1"/>
    </row>
    <row r="11" spans="1:19" ht="13.2" x14ac:dyDescent="0.25">
      <c r="A11" s="3" t="s">
        <v>13</v>
      </c>
      <c r="B11" s="3">
        <v>512</v>
      </c>
      <c r="C11" s="3">
        <v>1024</v>
      </c>
      <c r="D11" s="3">
        <v>2048</v>
      </c>
      <c r="E11" s="3">
        <v>4096</v>
      </c>
      <c r="G11" s="41"/>
      <c r="H11" s="9">
        <v>1</v>
      </c>
      <c r="I11" s="12">
        <f t="shared" ref="I11:L11" si="4">I4/I4</f>
        <v>1</v>
      </c>
      <c r="J11" s="13">
        <f t="shared" si="4"/>
        <v>1</v>
      </c>
      <c r="K11" s="13">
        <f t="shared" si="4"/>
        <v>1</v>
      </c>
      <c r="L11" s="14">
        <f t="shared" si="4"/>
        <v>1</v>
      </c>
      <c r="M11" s="41"/>
      <c r="O11" s="1"/>
    </row>
    <row r="12" spans="1:19" ht="13.2" x14ac:dyDescent="0.25">
      <c r="A12" s="3" t="s">
        <v>7</v>
      </c>
      <c r="B12" s="3">
        <v>3.2276009999999999</v>
      </c>
      <c r="C12" s="3">
        <v>12.806315</v>
      </c>
      <c r="D12" s="3">
        <v>50.859430000000003</v>
      </c>
      <c r="E12" s="3">
        <v>204.36138299999999</v>
      </c>
      <c r="G12" s="41"/>
      <c r="H12" s="10">
        <v>4</v>
      </c>
      <c r="I12" s="15">
        <f t="shared" ref="I12:L12" si="5">I4/I5</f>
        <v>3.501787621604457</v>
      </c>
      <c r="J12" s="16">
        <f t="shared" si="5"/>
        <v>3.5482814274245729</v>
      </c>
      <c r="K12" s="16">
        <f t="shared" si="5"/>
        <v>3.5643087315767752</v>
      </c>
      <c r="L12" s="17">
        <f t="shared" si="5"/>
        <v>3.563541774767899</v>
      </c>
      <c r="M12" s="41"/>
      <c r="O12" s="1"/>
    </row>
    <row r="13" spans="1:19" ht="13.8" thickBot="1" x14ac:dyDescent="0.3">
      <c r="A13" s="3" t="s">
        <v>8</v>
      </c>
      <c r="B13" s="3">
        <v>3.245879</v>
      </c>
      <c r="C13" s="3">
        <v>12.807104000000001</v>
      </c>
      <c r="D13" s="3">
        <v>50.848554</v>
      </c>
      <c r="E13" s="3">
        <v>204.43509499999999</v>
      </c>
      <c r="G13" s="41"/>
      <c r="H13" s="11">
        <v>8</v>
      </c>
      <c r="I13" s="18">
        <f t="shared" ref="I13:L13" si="6">I4/I6</f>
        <v>6.5063619236622809</v>
      </c>
      <c r="J13" s="19">
        <f t="shared" si="6"/>
        <v>6.743780358470576</v>
      </c>
      <c r="K13" s="19">
        <f t="shared" si="6"/>
        <v>6.9807177390521202</v>
      </c>
      <c r="L13" s="20">
        <f t="shared" si="6"/>
        <v>7.1612731706756652</v>
      </c>
      <c r="M13" s="41"/>
      <c r="O13" s="1"/>
    </row>
    <row r="14" spans="1:19" ht="13.8" thickBot="1" x14ac:dyDescent="0.3">
      <c r="A14" s="3" t="s">
        <v>9</v>
      </c>
      <c r="B14" s="3">
        <v>3.226</v>
      </c>
      <c r="C14" s="3">
        <v>12.803433999999999</v>
      </c>
      <c r="D14" s="3">
        <v>50.930059999999997</v>
      </c>
      <c r="E14" s="3">
        <v>204.64280099999999</v>
      </c>
      <c r="G14" s="48"/>
      <c r="H14" s="50"/>
      <c r="I14" s="39"/>
      <c r="J14" s="39"/>
      <c r="K14" s="53"/>
      <c r="L14" s="49"/>
      <c r="M14" s="56"/>
      <c r="O14" s="1"/>
    </row>
    <row r="15" spans="1:19" ht="13.8" thickBot="1" x14ac:dyDescent="0.3">
      <c r="A15" s="4" t="s">
        <v>10</v>
      </c>
      <c r="B15" s="4">
        <f t="shared" ref="B15:E15" si="7">AVERAGE(B12:B14)</f>
        <v>3.2331600000000003</v>
      </c>
      <c r="C15" s="4">
        <f t="shared" si="7"/>
        <v>12.805617666666668</v>
      </c>
      <c r="D15" s="4">
        <f t="shared" si="7"/>
        <v>50.879348</v>
      </c>
      <c r="E15" s="4">
        <f t="shared" si="7"/>
        <v>204.47975966666664</v>
      </c>
      <c r="G15" s="48"/>
      <c r="H15" s="52"/>
      <c r="I15" s="40"/>
      <c r="J15" s="40"/>
      <c r="K15" s="55"/>
      <c r="L15" s="51"/>
      <c r="M15" s="56"/>
    </row>
    <row r="16" spans="1:19" ht="13.8" thickBot="1" x14ac:dyDescent="0.3">
      <c r="G16" s="41"/>
      <c r="H16" s="5" t="s">
        <v>14</v>
      </c>
      <c r="I16" s="68" t="s">
        <v>3</v>
      </c>
      <c r="J16" s="69"/>
      <c r="K16" s="69"/>
      <c r="L16" s="70"/>
      <c r="M16" s="41"/>
      <c r="O16" s="2"/>
      <c r="P16" s="74"/>
      <c r="Q16" s="75"/>
      <c r="R16" s="75"/>
      <c r="S16" s="75"/>
    </row>
    <row r="17" spans="1:19" ht="13.8" thickBot="1" x14ac:dyDescent="0.3">
      <c r="A17" s="3" t="s">
        <v>12</v>
      </c>
      <c r="B17" s="71" t="s">
        <v>3</v>
      </c>
      <c r="C17" s="72"/>
      <c r="D17" s="72"/>
      <c r="E17" s="73"/>
      <c r="G17" s="41"/>
      <c r="H17" s="5" t="s">
        <v>5</v>
      </c>
      <c r="I17" s="6">
        <v>512</v>
      </c>
      <c r="J17" s="7">
        <v>1024</v>
      </c>
      <c r="K17" s="7">
        <v>2048</v>
      </c>
      <c r="L17" s="8">
        <v>4096</v>
      </c>
      <c r="M17" s="41"/>
      <c r="O17" s="2"/>
      <c r="P17" s="1"/>
      <c r="Q17" s="1"/>
      <c r="R17" s="1"/>
      <c r="S17" s="1"/>
    </row>
    <row r="18" spans="1:19" ht="13.2" x14ac:dyDescent="0.25">
      <c r="A18" s="3" t="s">
        <v>15</v>
      </c>
      <c r="B18" s="3">
        <v>512</v>
      </c>
      <c r="C18" s="3">
        <v>1024</v>
      </c>
      <c r="D18" s="3">
        <v>2048</v>
      </c>
      <c r="E18" s="3">
        <v>4096</v>
      </c>
      <c r="G18" s="41"/>
      <c r="H18" s="9">
        <v>1</v>
      </c>
      <c r="I18" s="12">
        <f t="shared" ref="I18:I20" si="8">I11/H18</f>
        <v>1</v>
      </c>
      <c r="J18" s="13">
        <f>J11/J11</f>
        <v>1</v>
      </c>
      <c r="K18" s="13">
        <f t="shared" ref="K18:K20" si="9">K11/H18</f>
        <v>1</v>
      </c>
      <c r="L18" s="14">
        <f t="shared" ref="L18:L20" si="10">L11/H18</f>
        <v>1</v>
      </c>
      <c r="M18" s="41"/>
      <c r="O18" s="1"/>
    </row>
    <row r="19" spans="1:19" ht="13.2" x14ac:dyDescent="0.25">
      <c r="A19" s="3" t="s">
        <v>7</v>
      </c>
      <c r="B19" s="3">
        <v>1.8038209999999999</v>
      </c>
      <c r="C19" s="3">
        <v>6.7476929999999999</v>
      </c>
      <c r="D19" s="3">
        <v>26.085618</v>
      </c>
      <c r="E19" s="3">
        <v>101.650082</v>
      </c>
      <c r="G19" s="41"/>
      <c r="H19" s="10">
        <v>4</v>
      </c>
      <c r="I19" s="15">
        <f t="shared" si="8"/>
        <v>0.87544690540111425</v>
      </c>
      <c r="J19" s="16">
        <f t="shared" ref="J19:J20" si="11">J12/H19</f>
        <v>0.88707035685614322</v>
      </c>
      <c r="K19" s="16">
        <f t="shared" si="9"/>
        <v>0.8910771828941938</v>
      </c>
      <c r="L19" s="17">
        <f t="shared" si="10"/>
        <v>0.89088544369197475</v>
      </c>
      <c r="M19" s="41"/>
      <c r="O19" s="1"/>
    </row>
    <row r="20" spans="1:19" ht="13.8" thickBot="1" x14ac:dyDescent="0.3">
      <c r="A20" s="3" t="s">
        <v>8</v>
      </c>
      <c r="B20" s="3">
        <v>1.704698</v>
      </c>
      <c r="C20" s="3">
        <v>6.7335950000000002</v>
      </c>
      <c r="D20" s="3">
        <v>26.044779999999999</v>
      </c>
      <c r="E20" s="3">
        <v>101.854985</v>
      </c>
      <c r="G20" s="41"/>
      <c r="H20" s="11">
        <v>8</v>
      </c>
      <c r="I20" s="18">
        <f t="shared" si="8"/>
        <v>0.81329524045778512</v>
      </c>
      <c r="J20" s="19">
        <f t="shared" si="11"/>
        <v>0.842972544808822</v>
      </c>
      <c r="K20" s="19">
        <f t="shared" si="9"/>
        <v>0.87258971738151503</v>
      </c>
      <c r="L20" s="20">
        <f t="shared" si="10"/>
        <v>0.89515914633445814</v>
      </c>
      <c r="M20" s="41"/>
      <c r="O20" s="1"/>
    </row>
    <row r="21" spans="1:19" ht="13.2" x14ac:dyDescent="0.25">
      <c r="A21" s="3" t="s">
        <v>9</v>
      </c>
      <c r="B21" s="3">
        <v>1.7118359999999999</v>
      </c>
      <c r="C21" s="3">
        <v>6.7319750000000003</v>
      </c>
      <c r="D21" s="3">
        <v>25.805586999999999</v>
      </c>
      <c r="E21" s="3">
        <v>101.75022</v>
      </c>
      <c r="G21" s="42"/>
      <c r="H21" s="58"/>
      <c r="I21" s="59"/>
      <c r="J21" s="60"/>
      <c r="K21" s="61"/>
      <c r="L21" s="58"/>
      <c r="M21" s="45"/>
      <c r="O21" s="1"/>
    </row>
    <row r="22" spans="1:19" ht="13.8" thickBot="1" x14ac:dyDescent="0.3">
      <c r="A22" s="4" t="s">
        <v>10</v>
      </c>
      <c r="B22" s="4">
        <f t="shared" ref="B22:E22" si="12">AVERAGE(B19:B21)</f>
        <v>1.7401183333333332</v>
      </c>
      <c r="C22" s="4">
        <f t="shared" si="12"/>
        <v>6.7377543333333323</v>
      </c>
      <c r="D22" s="4">
        <f t="shared" si="12"/>
        <v>25.978661666666667</v>
      </c>
      <c r="E22" s="4">
        <f t="shared" si="12"/>
        <v>101.75176233333333</v>
      </c>
      <c r="G22" s="62"/>
      <c r="H22" s="63"/>
      <c r="I22" s="64"/>
      <c r="J22" s="65"/>
      <c r="K22" s="66"/>
      <c r="L22" s="63"/>
      <c r="M22" s="47"/>
    </row>
    <row r="23" spans="1:19" ht="13.8" thickBot="1" x14ac:dyDescent="0.3">
      <c r="G23" s="41"/>
      <c r="H23" s="5" t="s">
        <v>16</v>
      </c>
      <c r="I23" s="68" t="s">
        <v>3</v>
      </c>
      <c r="J23" s="69"/>
      <c r="K23" s="69"/>
      <c r="L23" s="70"/>
      <c r="M23" s="41"/>
    </row>
    <row r="24" spans="1:19" ht="13.8" thickBot="1" x14ac:dyDescent="0.3">
      <c r="G24" s="41"/>
      <c r="H24" s="5" t="s">
        <v>5</v>
      </c>
      <c r="I24" s="6">
        <v>512</v>
      </c>
      <c r="J24" s="7">
        <v>1024</v>
      </c>
      <c r="K24" s="7">
        <v>2048</v>
      </c>
      <c r="L24" s="8">
        <v>4096</v>
      </c>
      <c r="M24" s="41"/>
    </row>
    <row r="25" spans="1:19" ht="13.2" x14ac:dyDescent="0.25">
      <c r="G25" s="41"/>
      <c r="H25" s="9">
        <v>1</v>
      </c>
      <c r="I25" s="30">
        <v>0</v>
      </c>
      <c r="J25" s="31">
        <v>0</v>
      </c>
      <c r="K25" s="31">
        <v>0</v>
      </c>
      <c r="L25" s="32">
        <v>0</v>
      </c>
      <c r="M25" s="41"/>
    </row>
    <row r="26" spans="1:19" ht="13.2" x14ac:dyDescent="0.25">
      <c r="G26" s="41"/>
      <c r="H26" s="10">
        <v>4</v>
      </c>
      <c r="I26" s="33">
        <v>3.7922999999999998E-2</v>
      </c>
      <c r="J26" s="34">
        <v>0.66622099999999995</v>
      </c>
      <c r="K26" s="34">
        <v>6.8534999999999999E-2</v>
      </c>
      <c r="L26" s="35">
        <v>0.56697799999999998</v>
      </c>
      <c r="M26" s="41"/>
    </row>
    <row r="27" spans="1:19" ht="13.8" thickBot="1" x14ac:dyDescent="0.3">
      <c r="G27" s="41"/>
      <c r="H27" s="11">
        <v>8</v>
      </c>
      <c r="I27" s="36">
        <v>9.2952999999999994E-2</v>
      </c>
      <c r="J27" s="37">
        <v>0.74996300000000005</v>
      </c>
      <c r="K27" s="37">
        <v>5.5295999999999998E-2</v>
      </c>
      <c r="L27" s="38">
        <v>0.45368700000000001</v>
      </c>
      <c r="M27" s="41"/>
    </row>
    <row r="28" spans="1:19" ht="15.75" customHeight="1" x14ac:dyDescent="0.25">
      <c r="G28" s="42"/>
      <c r="H28" s="43"/>
      <c r="I28" s="43"/>
      <c r="J28" s="43"/>
      <c r="K28" s="43"/>
      <c r="L28" s="43"/>
      <c r="M28" s="45"/>
    </row>
  </sheetData>
  <mergeCells count="10">
    <mergeCell ref="I16:L16"/>
    <mergeCell ref="B17:E17"/>
    <mergeCell ref="I23:L23"/>
    <mergeCell ref="I2:L2"/>
    <mergeCell ref="P2:S2"/>
    <mergeCell ref="B3:E3"/>
    <mergeCell ref="I9:L9"/>
    <mergeCell ref="P9:S9"/>
    <mergeCell ref="B10:E10"/>
    <mergeCell ref="P16:S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M30"/>
  <sheetViews>
    <sheetView tabSelected="1" zoomScale="85" zoomScaleNormal="85" workbookViewId="0">
      <selection activeCell="G1" sqref="G1:M22"/>
    </sheetView>
  </sheetViews>
  <sheetFormatPr baseColWidth="10" defaultColWidth="12.6640625" defaultRowHeight="15.75" customHeight="1" x14ac:dyDescent="0.25"/>
  <cols>
    <col min="1" max="1" width="14.6640625" customWidth="1"/>
    <col min="6" max="6" width="6.33203125" customWidth="1"/>
    <col min="7" max="7" width="3.33203125" customWidth="1"/>
    <col min="8" max="8" width="28.33203125" bestFit="1" customWidth="1"/>
    <col min="13" max="13" width="3.33203125" customWidth="1"/>
    <col min="14" max="14" width="12.44140625" customWidth="1"/>
    <col min="15" max="15" width="24.33203125" customWidth="1"/>
  </cols>
  <sheetData>
    <row r="1" spans="1:13" ht="15.75" customHeight="1" thickBot="1" x14ac:dyDescent="0.3">
      <c r="G1" s="57"/>
      <c r="H1" s="43"/>
      <c r="I1" s="43"/>
      <c r="J1" s="43"/>
      <c r="K1" s="43"/>
      <c r="L1" s="43"/>
      <c r="M1" s="47"/>
    </row>
    <row r="2" spans="1:13" ht="13.8" thickBot="1" x14ac:dyDescent="0.3">
      <c r="C2" s="1" t="s">
        <v>0</v>
      </c>
      <c r="D2" s="1" t="s">
        <v>1</v>
      </c>
      <c r="G2" s="41"/>
      <c r="H2" s="5" t="s">
        <v>2</v>
      </c>
      <c r="I2" s="68" t="s">
        <v>3</v>
      </c>
      <c r="J2" s="69"/>
      <c r="K2" s="69"/>
      <c r="L2" s="70"/>
      <c r="M2" s="41"/>
    </row>
    <row r="3" spans="1:13" ht="13.8" thickBot="1" x14ac:dyDescent="0.3">
      <c r="A3" s="3" t="s">
        <v>4</v>
      </c>
      <c r="B3" s="71" t="s">
        <v>3</v>
      </c>
      <c r="C3" s="72"/>
      <c r="D3" s="72"/>
      <c r="E3" s="73"/>
      <c r="F3" s="2"/>
      <c r="G3" s="41"/>
      <c r="H3" s="5" t="s">
        <v>5</v>
      </c>
      <c r="I3" s="6">
        <v>512</v>
      </c>
      <c r="J3" s="7">
        <v>1024</v>
      </c>
      <c r="K3" s="7">
        <v>2048</v>
      </c>
      <c r="L3" s="8">
        <v>4096</v>
      </c>
      <c r="M3" s="41"/>
    </row>
    <row r="4" spans="1:13" ht="13.2" x14ac:dyDescent="0.25">
      <c r="A4" s="3" t="s">
        <v>6</v>
      </c>
      <c r="B4" s="3">
        <v>512</v>
      </c>
      <c r="C4" s="3">
        <v>1024</v>
      </c>
      <c r="D4" s="3">
        <v>2048</v>
      </c>
      <c r="E4" s="3">
        <v>4096</v>
      </c>
      <c r="G4" s="41"/>
      <c r="H4" s="9">
        <v>1</v>
      </c>
      <c r="I4" s="12">
        <f t="shared" ref="I4:L4" si="0">B8</f>
        <v>11.321839666666667</v>
      </c>
      <c r="J4" s="13">
        <f t="shared" si="0"/>
        <v>45.437935333333336</v>
      </c>
      <c r="K4" s="13">
        <f t="shared" si="0"/>
        <v>181.34970433333334</v>
      </c>
      <c r="L4" s="14">
        <f t="shared" si="0"/>
        <v>728.67216566666673</v>
      </c>
      <c r="M4" s="41"/>
    </row>
    <row r="5" spans="1:13" ht="13.2" x14ac:dyDescent="0.25">
      <c r="A5" s="3" t="s">
        <v>7</v>
      </c>
      <c r="B5" s="3">
        <v>11.297298</v>
      </c>
      <c r="C5" s="3">
        <v>45.446570999999999</v>
      </c>
      <c r="D5" s="3">
        <v>182.368472</v>
      </c>
      <c r="E5" s="3">
        <v>727.73198400000001</v>
      </c>
      <c r="G5" s="41"/>
      <c r="H5" s="10">
        <v>4</v>
      </c>
      <c r="I5" s="15">
        <f t="shared" ref="I5:L5" si="1">B15</f>
        <v>4.9033179999999996</v>
      </c>
      <c r="J5" s="16">
        <f t="shared" si="1"/>
        <v>19.117636000000001</v>
      </c>
      <c r="K5" s="16">
        <f t="shared" si="1"/>
        <v>75.821684000000005</v>
      </c>
      <c r="L5" s="17">
        <f t="shared" si="1"/>
        <v>304.21596199999999</v>
      </c>
      <c r="M5" s="41"/>
    </row>
    <row r="6" spans="1:13" ht="13.2" x14ac:dyDescent="0.25">
      <c r="A6" s="3" t="s">
        <v>8</v>
      </c>
      <c r="B6" s="3">
        <v>11.312029000000001</v>
      </c>
      <c r="C6" s="3">
        <v>45.468978</v>
      </c>
      <c r="D6" s="3">
        <v>182.23208399999999</v>
      </c>
      <c r="E6" s="3">
        <v>730.08173899999997</v>
      </c>
      <c r="G6" s="41"/>
      <c r="H6" s="10">
        <v>8</v>
      </c>
      <c r="I6" s="15">
        <f t="shared" ref="I6:L6" si="2">B22</f>
        <v>2.5945999999999998</v>
      </c>
      <c r="J6" s="16">
        <f t="shared" si="2"/>
        <v>9.8644870000000004</v>
      </c>
      <c r="K6" s="16">
        <f t="shared" si="2"/>
        <v>38.421816</v>
      </c>
      <c r="L6" s="17">
        <f t="shared" si="2"/>
        <v>153.64934</v>
      </c>
      <c r="M6" s="41"/>
    </row>
    <row r="7" spans="1:13" ht="13.8" thickBot="1" x14ac:dyDescent="0.3">
      <c r="A7" s="3" t="s">
        <v>9</v>
      </c>
      <c r="B7" s="3">
        <v>11.356192</v>
      </c>
      <c r="C7" s="3">
        <v>45.398257000000001</v>
      </c>
      <c r="D7" s="3">
        <v>179.44855699999999</v>
      </c>
      <c r="E7" s="3">
        <v>728.20277399999998</v>
      </c>
      <c r="G7" s="41"/>
      <c r="H7" s="11">
        <v>16</v>
      </c>
      <c r="I7" s="18">
        <f t="shared" ref="I7:L7" si="3">B29</f>
        <v>1.5465445</v>
      </c>
      <c r="J7" s="19">
        <f t="shared" si="3"/>
        <v>5.1825359999999998</v>
      </c>
      <c r="K7" s="19">
        <f t="shared" si="3"/>
        <v>19.567283</v>
      </c>
      <c r="L7" s="20">
        <f t="shared" si="3"/>
        <v>77.713166999999999</v>
      </c>
      <c r="M7" s="41"/>
    </row>
    <row r="8" spans="1:13" ht="13.8" thickBot="1" x14ac:dyDescent="0.3">
      <c r="A8" s="4" t="s">
        <v>10</v>
      </c>
      <c r="B8" s="4">
        <f t="shared" ref="B8:C8" si="4">AVERAGE(B5:B7)</f>
        <v>11.321839666666667</v>
      </c>
      <c r="C8" s="4">
        <f t="shared" si="4"/>
        <v>45.437935333333336</v>
      </c>
      <c r="D8" s="4">
        <f>AVERAGE(D5:D7)</f>
        <v>181.34970433333334</v>
      </c>
      <c r="E8" s="4">
        <f>AVERAGE(E5:E7)</f>
        <v>728.67216566666673</v>
      </c>
      <c r="G8" s="48"/>
      <c r="H8" s="43"/>
      <c r="I8" s="43"/>
      <c r="J8" s="43"/>
      <c r="K8" s="43"/>
      <c r="L8" s="43"/>
      <c r="M8" s="56"/>
    </row>
    <row r="9" spans="1:13" ht="13.8" thickBot="1" x14ac:dyDescent="0.3">
      <c r="G9" s="41"/>
      <c r="H9" s="5" t="s">
        <v>11</v>
      </c>
      <c r="I9" s="68" t="s">
        <v>3</v>
      </c>
      <c r="J9" s="69"/>
      <c r="K9" s="69"/>
      <c r="L9" s="70"/>
      <c r="M9" s="41"/>
    </row>
    <row r="10" spans="1:13" ht="13.8" thickBot="1" x14ac:dyDescent="0.3">
      <c r="A10" s="3" t="s">
        <v>17</v>
      </c>
      <c r="B10" s="3"/>
      <c r="C10" s="71" t="s">
        <v>3</v>
      </c>
      <c r="D10" s="72"/>
      <c r="E10" s="73"/>
      <c r="G10" s="41"/>
      <c r="H10" s="5" t="s">
        <v>5</v>
      </c>
      <c r="I10" s="6">
        <v>512</v>
      </c>
      <c r="J10" s="7">
        <v>1024</v>
      </c>
      <c r="K10" s="7">
        <v>2048</v>
      </c>
      <c r="L10" s="8">
        <v>4096</v>
      </c>
      <c r="M10" s="41"/>
    </row>
    <row r="11" spans="1:13" ht="13.8" thickBot="1" x14ac:dyDescent="0.3">
      <c r="A11" s="3" t="s">
        <v>13</v>
      </c>
      <c r="B11" s="3">
        <v>512</v>
      </c>
      <c r="C11" s="3">
        <v>1024</v>
      </c>
      <c r="D11" s="3">
        <v>2048</v>
      </c>
      <c r="E11" s="3">
        <v>4096</v>
      </c>
      <c r="G11" s="41"/>
      <c r="H11" s="9">
        <v>1</v>
      </c>
      <c r="I11" s="12">
        <f t="shared" ref="I11:L11" si="5">I4/I4</f>
        <v>1</v>
      </c>
      <c r="J11" s="13">
        <f t="shared" si="5"/>
        <v>1</v>
      </c>
      <c r="K11" s="13">
        <f t="shared" si="5"/>
        <v>1</v>
      </c>
      <c r="L11" s="14">
        <f t="shared" si="5"/>
        <v>1</v>
      </c>
      <c r="M11" s="41"/>
    </row>
    <row r="12" spans="1:13" ht="13.8" thickBot="1" x14ac:dyDescent="0.3">
      <c r="A12" s="3" t="s">
        <v>7</v>
      </c>
      <c r="B12" s="76">
        <v>4.9033179999999996</v>
      </c>
      <c r="C12" s="77">
        <v>19.117636000000001</v>
      </c>
      <c r="D12" s="77">
        <v>75.821684000000005</v>
      </c>
      <c r="E12" s="77">
        <v>304.21596199999999</v>
      </c>
      <c r="G12" s="41"/>
      <c r="H12" s="10">
        <v>4</v>
      </c>
      <c r="I12" s="15">
        <f t="shared" ref="I12:L12" si="6">I4/I5</f>
        <v>2.3090159901247826</v>
      </c>
      <c r="J12" s="16">
        <f t="shared" si="6"/>
        <v>2.3767549153741254</v>
      </c>
      <c r="K12" s="16">
        <f t="shared" si="6"/>
        <v>2.3917920938465747</v>
      </c>
      <c r="L12" s="17">
        <f t="shared" si="6"/>
        <v>2.3952463272346858</v>
      </c>
      <c r="M12" s="41"/>
    </row>
    <row r="13" spans="1:13" ht="13.8" thickBot="1" x14ac:dyDescent="0.3">
      <c r="A13" s="3" t="s">
        <v>8</v>
      </c>
      <c r="B13" s="78"/>
      <c r="C13" s="79"/>
      <c r="D13" s="79"/>
      <c r="E13" s="79"/>
      <c r="G13" s="41"/>
      <c r="H13" s="10">
        <v>8</v>
      </c>
      <c r="I13" s="15">
        <f t="shared" ref="I13:L13" si="7">I4/I6</f>
        <v>4.363616613993166</v>
      </c>
      <c r="J13" s="16">
        <f t="shared" si="7"/>
        <v>4.6062137172803137</v>
      </c>
      <c r="K13" s="16">
        <f t="shared" si="7"/>
        <v>4.7199670190845051</v>
      </c>
      <c r="L13" s="17">
        <f t="shared" si="7"/>
        <v>4.7424360278193634</v>
      </c>
      <c r="M13" s="41"/>
    </row>
    <row r="14" spans="1:13" ht="13.8" thickBot="1" x14ac:dyDescent="0.3">
      <c r="A14" s="3" t="s">
        <v>9</v>
      </c>
      <c r="B14" s="78"/>
      <c r="C14" s="79"/>
      <c r="D14" s="79"/>
      <c r="E14" s="79"/>
      <c r="G14" s="41"/>
      <c r="H14" s="11">
        <v>16</v>
      </c>
      <c r="I14" s="18">
        <f t="shared" ref="I14:L14" si="8">I4/I7</f>
        <v>7.3207332001547112</v>
      </c>
      <c r="J14" s="19">
        <f t="shared" si="8"/>
        <v>8.7675098317374616</v>
      </c>
      <c r="K14" s="19">
        <f t="shared" si="8"/>
        <v>9.2680064132221798</v>
      </c>
      <c r="L14" s="20">
        <f t="shared" si="8"/>
        <v>9.3764312251830724</v>
      </c>
      <c r="M14" s="41"/>
    </row>
    <row r="15" spans="1:13" ht="13.8" thickBot="1" x14ac:dyDescent="0.3">
      <c r="A15" s="4" t="s">
        <v>10</v>
      </c>
      <c r="B15" s="4">
        <f t="shared" ref="B15:E15" si="9">AVERAGE(B12:B14)</f>
        <v>4.9033179999999996</v>
      </c>
      <c r="C15" s="4">
        <f t="shared" si="9"/>
        <v>19.117636000000001</v>
      </c>
      <c r="D15" s="4">
        <f t="shared" si="9"/>
        <v>75.821684000000005</v>
      </c>
      <c r="E15" s="4">
        <f t="shared" si="9"/>
        <v>304.21596199999999</v>
      </c>
      <c r="G15" s="48"/>
      <c r="H15" s="43"/>
      <c r="I15" s="43"/>
      <c r="J15" s="43"/>
      <c r="K15" s="43"/>
      <c r="L15" s="43"/>
      <c r="M15" s="56"/>
    </row>
    <row r="16" spans="1:13" ht="13.8" thickBot="1" x14ac:dyDescent="0.3">
      <c r="G16" s="41"/>
      <c r="H16" s="5" t="s">
        <v>14</v>
      </c>
      <c r="I16" s="68" t="s">
        <v>3</v>
      </c>
      <c r="J16" s="69"/>
      <c r="K16" s="69"/>
      <c r="L16" s="70"/>
      <c r="M16" s="41"/>
    </row>
    <row r="17" spans="1:13" ht="13.8" thickBot="1" x14ac:dyDescent="0.3">
      <c r="A17" s="3" t="s">
        <v>17</v>
      </c>
      <c r="B17" s="3"/>
      <c r="C17" s="71" t="s">
        <v>3</v>
      </c>
      <c r="D17" s="72"/>
      <c r="E17" s="73"/>
      <c r="G17" s="41"/>
      <c r="H17" s="5" t="s">
        <v>5</v>
      </c>
      <c r="I17" s="6">
        <v>512</v>
      </c>
      <c r="J17" s="7">
        <v>1024</v>
      </c>
      <c r="K17" s="7">
        <v>2048</v>
      </c>
      <c r="L17" s="8">
        <v>4096</v>
      </c>
      <c r="M17" s="41"/>
    </row>
    <row r="18" spans="1:13" ht="13.8" thickBot="1" x14ac:dyDescent="0.3">
      <c r="A18" s="3" t="s">
        <v>15</v>
      </c>
      <c r="B18" s="3">
        <v>512</v>
      </c>
      <c r="C18" s="3">
        <v>1024</v>
      </c>
      <c r="D18" s="3">
        <v>2048</v>
      </c>
      <c r="E18" s="3">
        <v>4096</v>
      </c>
      <c r="G18" s="41"/>
      <c r="H18" s="9">
        <v>1</v>
      </c>
      <c r="I18" s="12">
        <f t="shared" ref="I18:I21" si="10">I11/H18</f>
        <v>1</v>
      </c>
      <c r="J18" s="13">
        <f>J11/J11</f>
        <v>1</v>
      </c>
      <c r="K18" s="13">
        <f t="shared" ref="K18:K21" si="11">K11/H18</f>
        <v>1</v>
      </c>
      <c r="L18" s="14">
        <f t="shared" ref="L18:L21" si="12">L11/H18</f>
        <v>1</v>
      </c>
      <c r="M18" s="41"/>
    </row>
    <row r="19" spans="1:13" ht="13.8" thickBot="1" x14ac:dyDescent="0.3">
      <c r="A19" s="3" t="s">
        <v>7</v>
      </c>
      <c r="B19" s="76">
        <v>2.5945999999999998</v>
      </c>
      <c r="C19" s="77">
        <v>9.8644870000000004</v>
      </c>
      <c r="D19" s="77">
        <v>38.421816</v>
      </c>
      <c r="E19" s="77">
        <v>153.64934</v>
      </c>
      <c r="G19" s="41"/>
      <c r="H19" s="10">
        <v>4</v>
      </c>
      <c r="I19" s="15">
        <f t="shared" si="10"/>
        <v>0.57725399753119566</v>
      </c>
      <c r="J19" s="16">
        <f t="shared" ref="J19:J21" si="13">J12/H19</f>
        <v>0.59418872884353136</v>
      </c>
      <c r="K19" s="16">
        <f t="shared" si="11"/>
        <v>0.59794802346164366</v>
      </c>
      <c r="L19" s="17">
        <f t="shared" si="12"/>
        <v>0.59881158180867144</v>
      </c>
      <c r="M19" s="41"/>
    </row>
    <row r="20" spans="1:13" ht="13.8" thickBot="1" x14ac:dyDescent="0.3">
      <c r="A20" s="3" t="s">
        <v>8</v>
      </c>
      <c r="B20" s="78"/>
      <c r="C20" s="79"/>
      <c r="D20" s="79"/>
      <c r="E20" s="79"/>
      <c r="G20" s="41"/>
      <c r="H20" s="10">
        <v>8</v>
      </c>
      <c r="I20" s="15">
        <f t="shared" si="10"/>
        <v>0.54545207674914575</v>
      </c>
      <c r="J20" s="16">
        <f t="shared" si="13"/>
        <v>0.57577671466003921</v>
      </c>
      <c r="K20" s="16">
        <f t="shared" si="11"/>
        <v>0.58999587738556314</v>
      </c>
      <c r="L20" s="17">
        <f t="shared" si="12"/>
        <v>0.59280450347742042</v>
      </c>
      <c r="M20" s="41"/>
    </row>
    <row r="21" spans="1:13" ht="13.8" thickBot="1" x14ac:dyDescent="0.3">
      <c r="A21" s="3" t="s">
        <v>9</v>
      </c>
      <c r="B21" s="78"/>
      <c r="C21" s="79"/>
      <c r="D21" s="79"/>
      <c r="E21" s="79"/>
      <c r="G21" s="41"/>
      <c r="H21" s="11">
        <v>16</v>
      </c>
      <c r="I21" s="18">
        <f t="shared" si="10"/>
        <v>0.45754582500966945</v>
      </c>
      <c r="J21" s="19">
        <f t="shared" si="13"/>
        <v>0.54796936448359135</v>
      </c>
      <c r="K21" s="19">
        <f t="shared" si="11"/>
        <v>0.57925040082638624</v>
      </c>
      <c r="L21" s="20">
        <f t="shared" si="12"/>
        <v>0.58602695157394202</v>
      </c>
      <c r="M21" s="41"/>
    </row>
    <row r="22" spans="1:13" ht="13.2" x14ac:dyDescent="0.25">
      <c r="A22" s="4" t="s">
        <v>10</v>
      </c>
      <c r="B22" s="4">
        <f t="shared" ref="B22:E22" si="14">AVERAGE(B19:B21)</f>
        <v>2.5945999999999998</v>
      </c>
      <c r="C22" s="4">
        <f t="shared" si="14"/>
        <v>9.8644870000000004</v>
      </c>
      <c r="D22" s="4">
        <f t="shared" si="14"/>
        <v>38.421816</v>
      </c>
      <c r="E22" s="4">
        <f t="shared" si="14"/>
        <v>153.64934</v>
      </c>
      <c r="G22" s="42"/>
      <c r="H22" s="43"/>
      <c r="I22" s="43"/>
      <c r="J22" s="43"/>
      <c r="K22" s="43"/>
      <c r="L22" s="43"/>
      <c r="M22" s="45"/>
    </row>
    <row r="23" spans="1:13" ht="13.8" thickBot="1" x14ac:dyDescent="0.3">
      <c r="G23" s="46"/>
      <c r="H23" s="43"/>
      <c r="I23" s="43"/>
      <c r="J23" s="43"/>
      <c r="K23" s="43"/>
      <c r="L23" s="43"/>
      <c r="M23" s="44"/>
    </row>
    <row r="24" spans="1:13" ht="13.8" thickBot="1" x14ac:dyDescent="0.3">
      <c r="A24" s="3" t="s">
        <v>17</v>
      </c>
      <c r="B24" s="3"/>
      <c r="C24" s="71" t="s">
        <v>3</v>
      </c>
      <c r="D24" s="72"/>
      <c r="E24" s="73"/>
      <c r="G24" s="41"/>
      <c r="H24" s="5" t="s">
        <v>16</v>
      </c>
      <c r="I24" s="68" t="s">
        <v>3</v>
      </c>
      <c r="J24" s="69"/>
      <c r="K24" s="69"/>
      <c r="L24" s="70"/>
      <c r="M24" s="41"/>
    </row>
    <row r="25" spans="1:13" ht="13.8" thickBot="1" x14ac:dyDescent="0.3">
      <c r="A25" s="3" t="s">
        <v>18</v>
      </c>
      <c r="B25" s="3">
        <v>512</v>
      </c>
      <c r="C25" s="3">
        <v>1024</v>
      </c>
      <c r="D25" s="3">
        <v>2048</v>
      </c>
      <c r="E25" s="3">
        <v>4096</v>
      </c>
      <c r="G25" s="41"/>
      <c r="H25" s="5" t="s">
        <v>5</v>
      </c>
      <c r="I25" s="6">
        <v>512</v>
      </c>
      <c r="J25" s="7">
        <v>1024</v>
      </c>
      <c r="K25" s="7">
        <v>2048</v>
      </c>
      <c r="L25" s="8">
        <v>4096</v>
      </c>
      <c r="M25" s="41"/>
    </row>
    <row r="26" spans="1:13" ht="13.8" thickBot="1" x14ac:dyDescent="0.3">
      <c r="A26" s="3" t="s">
        <v>7</v>
      </c>
      <c r="B26" s="76">
        <v>1.5538369999999999</v>
      </c>
      <c r="C26" s="77">
        <v>5.1586650000000001</v>
      </c>
      <c r="D26" s="77">
        <v>19.567283</v>
      </c>
      <c r="E26" s="77">
        <v>77.713166999999999</v>
      </c>
      <c r="G26" s="41"/>
      <c r="H26" s="9">
        <v>1</v>
      </c>
      <c r="I26" s="21">
        <v>0</v>
      </c>
      <c r="J26" s="22">
        <v>0</v>
      </c>
      <c r="K26" s="22">
        <v>0</v>
      </c>
      <c r="L26" s="23">
        <v>0</v>
      </c>
      <c r="M26" s="41"/>
    </row>
    <row r="27" spans="1:13" ht="13.8" thickBot="1" x14ac:dyDescent="0.3">
      <c r="A27" s="3" t="s">
        <v>8</v>
      </c>
      <c r="B27" s="80">
        <v>1.5392520000000001</v>
      </c>
      <c r="C27" s="81">
        <v>5.2064069999999996</v>
      </c>
      <c r="D27" s="79"/>
      <c r="E27" s="79"/>
      <c r="G27" s="41"/>
      <c r="H27" s="10">
        <v>4</v>
      </c>
      <c r="I27" s="24">
        <v>1.26</v>
      </c>
      <c r="J27" s="25">
        <v>1.72</v>
      </c>
      <c r="K27" s="25">
        <v>1.43</v>
      </c>
      <c r="L27" s="26">
        <v>2.0299999999999998</v>
      </c>
      <c r="M27" s="41"/>
    </row>
    <row r="28" spans="1:13" ht="13.8" thickBot="1" x14ac:dyDescent="0.3">
      <c r="A28" s="3" t="s">
        <v>9</v>
      </c>
      <c r="B28" s="78"/>
      <c r="C28" s="79"/>
      <c r="D28" s="79"/>
      <c r="E28" s="79"/>
      <c r="G28" s="41"/>
      <c r="H28" s="10">
        <v>8</v>
      </c>
      <c r="I28" s="24">
        <v>1.51</v>
      </c>
      <c r="J28" s="25">
        <v>1.8</v>
      </c>
      <c r="K28" s="25">
        <v>1.47</v>
      </c>
      <c r="L28" s="26">
        <v>2.2400000000000002</v>
      </c>
      <c r="M28" s="41"/>
    </row>
    <row r="29" spans="1:13" ht="13.8" thickBot="1" x14ac:dyDescent="0.3">
      <c r="A29" s="4" t="s">
        <v>10</v>
      </c>
      <c r="B29" s="4">
        <f t="shared" ref="B29:E29" si="15">AVERAGE(B26:B28)</f>
        <v>1.5465445</v>
      </c>
      <c r="C29" s="4">
        <f t="shared" si="15"/>
        <v>5.1825359999999998</v>
      </c>
      <c r="D29" s="4">
        <f t="shared" si="15"/>
        <v>19.567283</v>
      </c>
      <c r="E29" s="4">
        <f t="shared" si="15"/>
        <v>77.713166999999999</v>
      </c>
      <c r="G29" s="41"/>
      <c r="H29" s="11">
        <v>16</v>
      </c>
      <c r="I29" s="27">
        <v>1.29</v>
      </c>
      <c r="J29" s="28">
        <v>1.82</v>
      </c>
      <c r="K29" s="28">
        <v>1.34</v>
      </c>
      <c r="L29" s="29">
        <v>2.29</v>
      </c>
      <c r="M29" s="41"/>
    </row>
    <row r="30" spans="1:13" ht="15.75" customHeight="1" x14ac:dyDescent="0.25">
      <c r="G30" s="42"/>
      <c r="H30" s="43"/>
      <c r="I30" s="43"/>
      <c r="J30" s="43"/>
      <c r="K30" s="43"/>
      <c r="L30" s="43"/>
      <c r="M30" s="45"/>
    </row>
  </sheetData>
  <mergeCells count="8">
    <mergeCell ref="C17:E17"/>
    <mergeCell ref="I24:L24"/>
    <mergeCell ref="C24:E24"/>
    <mergeCell ref="I2:L2"/>
    <mergeCell ref="B3:E3"/>
    <mergeCell ref="I9:L9"/>
    <mergeCell ref="C10:E10"/>
    <mergeCell ref="I16:L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Pthreads</vt:lpstr>
      <vt:lpstr>MPI-Pthreads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Joaquin Chanquia</cp:lastModifiedBy>
  <dcterms:modified xsi:type="dcterms:W3CDTF">2025-06-04T20:14:16Z</dcterms:modified>
</cp:coreProperties>
</file>